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17256" windowHeight="6768" activeTab="4"/>
  </bookViews>
  <sheets>
    <sheet name="Feuil1" sheetId="1" r:id="rId1"/>
    <sheet name="Feuil2" sheetId="6" r:id="rId2"/>
    <sheet name="Feuil3" sheetId="11" r:id="rId3"/>
    <sheet name="Feuil4" sheetId="12" r:id="rId4"/>
    <sheet name="Feuil5" sheetId="13" r:id="rId5"/>
    <sheet name="Feuil6" sheetId="14" r:id="rId6"/>
  </sheets>
  <calcPr calcId="162913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3" l="1"/>
  <c r="F10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2" i="13"/>
  <c r="C3" i="14" l="1"/>
  <c r="C4" i="14"/>
  <c r="C5" i="14"/>
  <c r="C6" i="14"/>
  <c r="C7" i="14"/>
  <c r="C8" i="14"/>
  <c r="C9" i="14"/>
  <c r="C10" i="14"/>
  <c r="C11" i="14"/>
  <c r="C2" i="14"/>
  <c r="F5" i="13"/>
  <c r="G5" i="13"/>
  <c r="G9" i="13"/>
  <c r="G10" i="13"/>
  <c r="G15" i="13"/>
  <c r="F2" i="13"/>
  <c r="G2" i="13" s="1"/>
  <c r="F3" i="13"/>
  <c r="G3" i="13" s="1"/>
  <c r="F7" i="13"/>
  <c r="G7" i="13" s="1"/>
  <c r="F8" i="13"/>
  <c r="G8" i="13" s="1"/>
  <c r="F13" i="13"/>
  <c r="G13" i="13" s="1"/>
  <c r="F14" i="13"/>
  <c r="G14" i="13" s="1"/>
  <c r="F15" i="13"/>
  <c r="F6" i="13"/>
  <c r="G6" i="13" s="1"/>
  <c r="F11" i="13"/>
  <c r="G11" i="13" s="1"/>
  <c r="F12" i="13"/>
  <c r="G12" i="13" s="1"/>
  <c r="F4" i="13"/>
  <c r="G4" i="13" s="1"/>
  <c r="G17" i="13" l="1"/>
  <c r="G19" i="13" l="1"/>
  <c r="G20" i="13" s="1"/>
</calcChain>
</file>

<file path=xl/sharedStrings.xml><?xml version="1.0" encoding="utf-8"?>
<sst xmlns="http://schemas.openxmlformats.org/spreadsheetml/2006/main" count="137" uniqueCount="36">
  <si>
    <t>Ivy League Applicants</t>
  </si>
  <si>
    <t>Students</t>
  </si>
  <si>
    <t>Faculty</t>
  </si>
  <si>
    <t>University</t>
  </si>
  <si>
    <t>Arts</t>
  </si>
  <si>
    <t>Yale</t>
  </si>
  <si>
    <t>Physics</t>
  </si>
  <si>
    <t>Brown</t>
  </si>
  <si>
    <t>Economics</t>
  </si>
  <si>
    <t>Dartmouth</t>
  </si>
  <si>
    <t>Harvard</t>
  </si>
  <si>
    <t>Columbia</t>
  </si>
  <si>
    <t>Cornell</t>
  </si>
  <si>
    <t>Mathematics</t>
  </si>
  <si>
    <t>Princeton</t>
  </si>
  <si>
    <t>Psychology</t>
  </si>
  <si>
    <t>Penn State</t>
  </si>
  <si>
    <t>Étiquettes de lignes</t>
  </si>
  <si>
    <t>Total général</t>
  </si>
  <si>
    <t>Somme de Students</t>
  </si>
  <si>
    <t>Moyenne de Students2</t>
  </si>
  <si>
    <t>Étiquettes de colonnes</t>
  </si>
  <si>
    <t>ID</t>
  </si>
  <si>
    <t>PU</t>
  </si>
  <si>
    <t>QTE</t>
  </si>
  <si>
    <t>PT</t>
  </si>
  <si>
    <t>Remise</t>
  </si>
  <si>
    <t>Val Remise</t>
  </si>
  <si>
    <t>Total à payer</t>
  </si>
  <si>
    <t>Total facture:</t>
  </si>
  <si>
    <t>TVA:</t>
  </si>
  <si>
    <t>Val TVA:</t>
  </si>
  <si>
    <t>TIC</t>
  </si>
  <si>
    <t>Distance (m)</t>
  </si>
  <si>
    <t>Time (s)</t>
  </si>
  <si>
    <t>Speed (m/s)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</si>
</sst>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_-* #,##0.00\ [$DZD]_-;\-* #,##0.00\ [$DZD]_-;_-* &quot;-&quot;??\ [$DZD]_-;_-@_-"/>
    <numFmt numFmtId="166" formatCode="#,##0.00\ [$DZD]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n">
        <color theme="0"/>
      </left>
      <right/>
      <top/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/>
      <bottom/>
      <diagonal/>
    </border>
    <border>
      <left/>
      <right style="medium">
        <color theme="1"/>
      </right>
      <top/>
      <bottom style="thick">
        <color theme="1"/>
      </bottom>
      <diagonal/>
    </border>
    <border>
      <left style="medium">
        <color theme="1"/>
      </left>
      <right style="medium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0" fontId="0" fillId="2" borderId="3" xfId="0" applyFill="1" applyBorder="1"/>
    <xf numFmtId="0" fontId="0" fillId="2" borderId="1" xfId="0" applyFill="1" applyBorder="1" applyAlignment="1">
      <alignment horizontal="center"/>
    </xf>
    <xf numFmtId="0" fontId="0" fillId="3" borderId="4" xfId="0" applyFill="1" applyBorder="1"/>
    <xf numFmtId="0" fontId="0" fillId="2" borderId="1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/>
    <xf numFmtId="0" fontId="0" fillId="3" borderId="1" xfId="0" applyFill="1" applyBorder="1"/>
    <xf numFmtId="0" fontId="0" fillId="2" borderId="7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8" xfId="0" applyFill="1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/>
    <xf numFmtId="0" fontId="0" fillId="3" borderId="3" xfId="0" applyFill="1" applyBorder="1"/>
    <xf numFmtId="0" fontId="0" fillId="3" borderId="10" xfId="0" applyFill="1" applyBorder="1"/>
    <xf numFmtId="0" fontId="0" fillId="2" borderId="10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10" xfId="0" applyBorder="1"/>
    <xf numFmtId="0" fontId="0" fillId="2" borderId="12" xfId="0" applyFill="1" applyBorder="1"/>
    <xf numFmtId="0" fontId="0" fillId="3" borderId="0" xfId="0" applyFill="1"/>
    <xf numFmtId="0" fontId="0" fillId="2" borderId="0" xfId="0" applyFill="1"/>
    <xf numFmtId="0" fontId="0" fillId="2" borderId="11" xfId="0" applyFill="1" applyBorder="1"/>
    <xf numFmtId="0" fontId="0" fillId="3" borderId="15" xfId="0" applyFill="1" applyBorder="1"/>
    <xf numFmtId="0" fontId="0" fillId="2" borderId="15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14" xfId="0" applyFill="1" applyBorder="1"/>
    <xf numFmtId="0" fontId="0" fillId="4" borderId="0" xfId="0" applyFill="1" applyBorder="1"/>
    <xf numFmtId="0" fontId="0" fillId="4" borderId="19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0" fillId="3" borderId="13" xfId="0" applyFill="1" applyBorder="1"/>
    <xf numFmtId="0" fontId="0" fillId="3" borderId="22" xfId="0" applyFill="1" applyBorder="1"/>
    <xf numFmtId="0" fontId="0" fillId="2" borderId="22" xfId="0" applyFill="1" applyBorder="1"/>
    <xf numFmtId="0" fontId="0" fillId="5" borderId="23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166" fontId="0" fillId="6" borderId="27" xfId="0" applyNumberFormat="1" applyFill="1" applyBorder="1"/>
    <xf numFmtId="166" fontId="0" fillId="0" borderId="27" xfId="0" applyNumberFormat="1" applyBorder="1"/>
    <xf numFmtId="166" fontId="0" fillId="6" borderId="29" xfId="0" applyNumberFormat="1" applyFill="1" applyBorder="1"/>
    <xf numFmtId="10" fontId="0" fillId="0" borderId="0" xfId="0" applyNumberFormat="1" applyBorder="1" applyAlignment="1">
      <alignment horizontal="center"/>
    </xf>
    <xf numFmtId="10" fontId="0" fillId="6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0" xfId="0" applyBorder="1"/>
    <xf numFmtId="0" fontId="0" fillId="6" borderId="30" xfId="0" applyFill="1" applyBorder="1"/>
    <xf numFmtId="0" fontId="0" fillId="6" borderId="31" xfId="0" applyFill="1" applyBorder="1"/>
    <xf numFmtId="0" fontId="0" fillId="5" borderId="28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6" borderId="31" xfId="0" applyFill="1" applyBorder="1" applyAlignment="1">
      <alignment horizontal="center"/>
    </xf>
    <xf numFmtId="9" fontId="0" fillId="0" borderId="37" xfId="0" applyNumberFormat="1" applyBorder="1" applyAlignment="1">
      <alignment horizontal="right"/>
    </xf>
    <xf numFmtId="164" fontId="0" fillId="0" borderId="37" xfId="0" applyNumberFormat="1" applyBorder="1"/>
    <xf numFmtId="164" fontId="3" fillId="6" borderId="25" xfId="0" applyNumberFormat="1" applyFont="1" applyFill="1" applyBorder="1"/>
    <xf numFmtId="0" fontId="0" fillId="0" borderId="40" xfId="0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2" fillId="5" borderId="23" xfId="0" applyFont="1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40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35" xfId="0" applyBorder="1" applyAlignment="1">
      <alignment horizontal="right"/>
    </xf>
    <xf numFmtId="0" fontId="0" fillId="0" borderId="33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32" xfId="0" applyBorder="1" applyAlignment="1">
      <alignment horizontal="right"/>
    </xf>
    <xf numFmtId="164" fontId="0" fillId="0" borderId="27" xfId="0" applyNumberFormat="1" applyBorder="1"/>
    <xf numFmtId="164" fontId="0" fillId="6" borderId="27" xfId="0" applyNumberFormat="1" applyFill="1" applyBorder="1"/>
    <xf numFmtId="10" fontId="0" fillId="7" borderId="0" xfId="0" applyNumberFormat="1" applyFill="1" applyBorder="1" applyAlignment="1">
      <alignment horizontal="center"/>
    </xf>
    <xf numFmtId="10" fontId="0" fillId="6" borderId="43" xfId="0" applyNumberFormat="1" applyFill="1" applyBorder="1" applyAlignment="1">
      <alignment horizontal="center"/>
    </xf>
    <xf numFmtId="164" fontId="0" fillId="0" borderId="34" xfId="0" applyNumberFormat="1" applyBorder="1"/>
    <xf numFmtId="164" fontId="0" fillId="0" borderId="23" xfId="0" applyNumberFormat="1" applyBorder="1"/>
    <xf numFmtId="164" fontId="0" fillId="6" borderId="23" xfId="0" applyNumberFormat="1" applyFill="1" applyBorder="1"/>
    <xf numFmtId="164" fontId="0" fillId="6" borderId="25" xfId="0" applyNumberFormat="1" applyFill="1" applyBorder="1"/>
    <xf numFmtId="164" fontId="0" fillId="0" borderId="30" xfId="1" applyNumberFormat="1" applyFont="1" applyBorder="1"/>
    <xf numFmtId="164" fontId="0" fillId="6" borderId="30" xfId="1" applyNumberFormat="1" applyFont="1" applyFill="1" applyBorder="1"/>
    <xf numFmtId="164" fontId="0" fillId="6" borderId="31" xfId="1" applyNumberFormat="1" applyFont="1" applyFill="1" applyBorder="1"/>
    <xf numFmtId="164" fontId="0" fillId="0" borderId="30" xfId="1" applyNumberFormat="1" applyFont="1" applyBorder="1" applyAlignment="1">
      <alignment horizontal="right"/>
    </xf>
    <xf numFmtId="164" fontId="0" fillId="6" borderId="30" xfId="0" applyNumberFormat="1" applyFill="1" applyBorder="1" applyAlignment="1">
      <alignment horizontal="right"/>
    </xf>
    <xf numFmtId="164" fontId="0" fillId="0" borderId="30" xfId="0" applyNumberFormat="1" applyBorder="1" applyAlignment="1">
      <alignment horizontal="right"/>
    </xf>
    <xf numFmtId="164" fontId="0" fillId="6" borderId="31" xfId="0" applyNumberFormat="1" applyFill="1" applyBorder="1" applyAlignment="1">
      <alignment horizontal="right"/>
    </xf>
  </cellXfs>
  <cellStyles count="2">
    <cellStyle name="Monétaire" xfId="1" builtinId="4"/>
    <cellStyle name="Normal" xfId="0" builtinId="0"/>
  </cellStyles>
  <dxfs count="1">
    <dxf>
      <font>
        <color theme="1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Speed/Time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Feuil6!$C$1</c:f>
              <c:strCache>
                <c:ptCount val="1"/>
                <c:pt idx="0">
                  <c:v>Speed (m/s)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Feuil6!$A$2:$A$11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Feuil6!$C$2:$C$11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5.666666666666667</c:v>
                </c:pt>
                <c:pt idx="3">
                  <c:v>6.75</c:v>
                </c:pt>
                <c:pt idx="4">
                  <c:v>7.4</c:v>
                </c:pt>
                <c:pt idx="5">
                  <c:v>8.1666666666666661</c:v>
                </c:pt>
                <c:pt idx="6">
                  <c:v>9</c:v>
                </c:pt>
                <c:pt idx="7">
                  <c:v>9.375</c:v>
                </c:pt>
                <c:pt idx="8">
                  <c:v>9.2222222222222214</c:v>
                </c:pt>
                <c:pt idx="9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E-4E99-B03F-64AA8F030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7118400"/>
        <c:axId val="1267116320"/>
      </c:lineChart>
      <c:catAx>
        <c:axId val="12671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7116320"/>
        <c:crosses val="autoZero"/>
        <c:auto val="1"/>
        <c:lblAlgn val="ctr"/>
        <c:lblOffset val="100"/>
        <c:noMultiLvlLbl val="0"/>
      </c:catAx>
      <c:valAx>
        <c:axId val="126711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711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Speed/Distance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Feuil6!$B$1</c:f>
              <c:strCache>
                <c:ptCount val="1"/>
                <c:pt idx="0">
                  <c:v>Distance (m)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Feuil6!$B$2:$B$11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17</c:v>
                </c:pt>
                <c:pt idx="3">
                  <c:v>27</c:v>
                </c:pt>
                <c:pt idx="4">
                  <c:v>37</c:v>
                </c:pt>
                <c:pt idx="5">
                  <c:v>49</c:v>
                </c:pt>
                <c:pt idx="6">
                  <c:v>63</c:v>
                </c:pt>
                <c:pt idx="7">
                  <c:v>75</c:v>
                </c:pt>
                <c:pt idx="8">
                  <c:v>83</c:v>
                </c:pt>
                <c:pt idx="9">
                  <c:v>91</c:v>
                </c:pt>
              </c:numCache>
            </c:numRef>
          </c:cat>
          <c:val>
            <c:numRef>
              <c:f>Feuil6!$C$2:$C$11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5.666666666666667</c:v>
                </c:pt>
                <c:pt idx="3">
                  <c:v>6.75</c:v>
                </c:pt>
                <c:pt idx="4">
                  <c:v>7.4</c:v>
                </c:pt>
                <c:pt idx="5">
                  <c:v>8.1666666666666661</c:v>
                </c:pt>
                <c:pt idx="6">
                  <c:v>9</c:v>
                </c:pt>
                <c:pt idx="7">
                  <c:v>9.375</c:v>
                </c:pt>
                <c:pt idx="8">
                  <c:v>9.2222222222222214</c:v>
                </c:pt>
                <c:pt idx="9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F-43A1-B5AE-7F0110FA1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8157712"/>
        <c:axId val="1267760416"/>
      </c:lineChart>
      <c:catAx>
        <c:axId val="12581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7760416"/>
        <c:crosses val="autoZero"/>
        <c:auto val="1"/>
        <c:lblAlgn val="ctr"/>
        <c:lblOffset val="100"/>
        <c:noMultiLvlLbl val="0"/>
      </c:catAx>
      <c:valAx>
        <c:axId val="12677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815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17646</xdr:colOff>
      <xdr:row>0</xdr:row>
      <xdr:rowOff>31241</xdr:rowOff>
    </xdr:from>
    <xdr:to>
      <xdr:col>10</xdr:col>
      <xdr:colOff>795494</xdr:colOff>
      <xdr:row>18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3829</xdr:colOff>
      <xdr:row>18</xdr:row>
      <xdr:rowOff>181936</xdr:rowOff>
    </xdr:from>
    <xdr:to>
      <xdr:col>8</xdr:col>
      <xdr:colOff>8374</xdr:colOff>
      <xdr:row>37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5288.455811805557" createdVersion="6" refreshedVersion="6" minRefreshableVersion="3" recordCount="40">
  <cacheSource type="worksheet">
    <worksheetSource ref="A2:B42" sheet="Feuil1"/>
  </cacheSource>
  <cacheFields count="3">
    <cacheField name="Students" numFmtId="0">
      <sharedItems containsSemiMixedTypes="0" containsString="0" containsNumber="1" containsInteger="1" minValue="135" maxValue="9567"/>
    </cacheField>
    <cacheField name="Faculty" numFmtId="0">
      <sharedItems count="5">
        <s v="Arts"/>
        <s v="Physics"/>
        <s v="Economics"/>
        <s v="Mathematics"/>
        <s v="Psychology"/>
      </sharedItems>
    </cacheField>
    <cacheField name="University" numFmtId="0">
      <sharedItems count="9">
        <s v="Yale"/>
        <s v="Brown"/>
        <s v="Dartmouth"/>
        <s v="Harvard"/>
        <s v="Columbia"/>
        <s v="Cornell"/>
        <s v="Princeton"/>
        <s v="Darmouth"/>
        <s v="Penn Sta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5288.47129548611" createdVersion="6" refreshedVersion="6" minRefreshableVersion="3" recordCount="40">
  <cacheSource type="worksheet">
    <worksheetSource ref="A2:C42" sheet="Feuil1"/>
  </cacheSource>
  <cacheFields count="3">
    <cacheField name="Students" numFmtId="0">
      <sharedItems containsSemiMixedTypes="0" containsString="0" containsNumber="1" containsInteger="1" minValue="135" maxValue="9567" count="37">
        <n v="591"/>
        <n v="9567"/>
        <n v="542"/>
        <n v="346"/>
        <n v="849"/>
        <n v="552"/>
        <n v="173"/>
        <n v="1355"/>
        <n v="193"/>
        <n v="615"/>
        <n v="1579"/>
        <n v="547"/>
        <n v="1687"/>
        <n v="972"/>
        <n v="234"/>
        <n v="151"/>
        <n v="1793"/>
        <n v="315"/>
        <n v="618"/>
        <n v="246"/>
        <n v="784"/>
        <n v="316"/>
        <n v="3155"/>
        <n v="318"/>
        <n v="608"/>
        <n v="561"/>
        <n v="357"/>
        <n v="1688"/>
        <n v="568"/>
        <n v="632"/>
        <n v="551"/>
        <n v="948"/>
        <n v="1358"/>
        <n v="135"/>
        <n v="158"/>
        <n v="1889"/>
        <n v="651"/>
      </sharedItems>
    </cacheField>
    <cacheField name="Faculty" numFmtId="0">
      <sharedItems count="5">
        <s v="Arts"/>
        <s v="Physics"/>
        <s v="Economics"/>
        <s v="Mathematics"/>
        <s v="Psychology"/>
      </sharedItems>
    </cacheField>
    <cacheField name="University" numFmtId="0">
      <sharedItems count="8">
        <s v="Yale"/>
        <s v="Brown"/>
        <s v="Dartmouth"/>
        <s v="Harvard"/>
        <s v="Columbia"/>
        <s v="Cornell"/>
        <s v="Princeton"/>
        <s v="Penn Sta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n v="591"/>
    <x v="0"/>
    <x v="0"/>
  </r>
  <r>
    <n v="9567"/>
    <x v="1"/>
    <x v="1"/>
  </r>
  <r>
    <n v="542"/>
    <x v="2"/>
    <x v="2"/>
  </r>
  <r>
    <n v="346"/>
    <x v="2"/>
    <x v="3"/>
  </r>
  <r>
    <n v="849"/>
    <x v="0"/>
    <x v="4"/>
  </r>
  <r>
    <n v="552"/>
    <x v="2"/>
    <x v="5"/>
  </r>
  <r>
    <n v="173"/>
    <x v="0"/>
    <x v="3"/>
  </r>
  <r>
    <n v="1355"/>
    <x v="0"/>
    <x v="5"/>
  </r>
  <r>
    <n v="193"/>
    <x v="3"/>
    <x v="6"/>
  </r>
  <r>
    <n v="615"/>
    <x v="3"/>
    <x v="3"/>
  </r>
  <r>
    <n v="1579"/>
    <x v="3"/>
    <x v="1"/>
  </r>
  <r>
    <n v="547"/>
    <x v="1"/>
    <x v="7"/>
  </r>
  <r>
    <n v="1687"/>
    <x v="4"/>
    <x v="7"/>
  </r>
  <r>
    <n v="972"/>
    <x v="2"/>
    <x v="1"/>
  </r>
  <r>
    <n v="234"/>
    <x v="2"/>
    <x v="8"/>
  </r>
  <r>
    <n v="151"/>
    <x v="4"/>
    <x v="6"/>
  </r>
  <r>
    <n v="1793"/>
    <x v="1"/>
    <x v="4"/>
  </r>
  <r>
    <n v="315"/>
    <x v="4"/>
    <x v="4"/>
  </r>
  <r>
    <n v="618"/>
    <x v="1"/>
    <x v="5"/>
  </r>
  <r>
    <n v="246"/>
    <x v="1"/>
    <x v="0"/>
  </r>
  <r>
    <n v="784"/>
    <x v="1"/>
    <x v="6"/>
  </r>
  <r>
    <n v="316"/>
    <x v="3"/>
    <x v="7"/>
  </r>
  <r>
    <n v="3155"/>
    <x v="0"/>
    <x v="7"/>
  </r>
  <r>
    <n v="318"/>
    <x v="4"/>
    <x v="8"/>
  </r>
  <r>
    <n v="608"/>
    <x v="2"/>
    <x v="4"/>
  </r>
  <r>
    <n v="561"/>
    <x v="0"/>
    <x v="6"/>
  </r>
  <r>
    <n v="357"/>
    <x v="4"/>
    <x v="0"/>
  </r>
  <r>
    <n v="1688"/>
    <x v="3"/>
    <x v="4"/>
  </r>
  <r>
    <n v="972"/>
    <x v="2"/>
    <x v="6"/>
  </r>
  <r>
    <n v="568"/>
    <x v="1"/>
    <x v="8"/>
  </r>
  <r>
    <n v="632"/>
    <x v="3"/>
    <x v="8"/>
  </r>
  <r>
    <n v="551"/>
    <x v="4"/>
    <x v="5"/>
  </r>
  <r>
    <n v="948"/>
    <x v="1"/>
    <x v="3"/>
  </r>
  <r>
    <n v="1358"/>
    <x v="0"/>
    <x v="1"/>
  </r>
  <r>
    <n v="135"/>
    <x v="0"/>
    <x v="8"/>
  </r>
  <r>
    <n v="849"/>
    <x v="3"/>
    <x v="0"/>
  </r>
  <r>
    <n v="158"/>
    <x v="4"/>
    <x v="3"/>
  </r>
  <r>
    <n v="1889"/>
    <x v="3"/>
    <x v="5"/>
  </r>
  <r>
    <n v="651"/>
    <x v="4"/>
    <x v="1"/>
  </r>
  <r>
    <n v="651"/>
    <x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x v="0"/>
    <x v="0"/>
  </r>
  <r>
    <x v="1"/>
    <x v="1"/>
    <x v="1"/>
  </r>
  <r>
    <x v="2"/>
    <x v="2"/>
    <x v="2"/>
  </r>
  <r>
    <x v="3"/>
    <x v="2"/>
    <x v="3"/>
  </r>
  <r>
    <x v="4"/>
    <x v="0"/>
    <x v="4"/>
  </r>
  <r>
    <x v="5"/>
    <x v="2"/>
    <x v="5"/>
  </r>
  <r>
    <x v="6"/>
    <x v="0"/>
    <x v="3"/>
  </r>
  <r>
    <x v="7"/>
    <x v="0"/>
    <x v="5"/>
  </r>
  <r>
    <x v="8"/>
    <x v="3"/>
    <x v="6"/>
  </r>
  <r>
    <x v="9"/>
    <x v="3"/>
    <x v="3"/>
  </r>
  <r>
    <x v="10"/>
    <x v="3"/>
    <x v="1"/>
  </r>
  <r>
    <x v="11"/>
    <x v="1"/>
    <x v="2"/>
  </r>
  <r>
    <x v="12"/>
    <x v="4"/>
    <x v="2"/>
  </r>
  <r>
    <x v="13"/>
    <x v="2"/>
    <x v="1"/>
  </r>
  <r>
    <x v="14"/>
    <x v="2"/>
    <x v="7"/>
  </r>
  <r>
    <x v="15"/>
    <x v="4"/>
    <x v="6"/>
  </r>
  <r>
    <x v="16"/>
    <x v="1"/>
    <x v="4"/>
  </r>
  <r>
    <x v="17"/>
    <x v="4"/>
    <x v="4"/>
  </r>
  <r>
    <x v="18"/>
    <x v="1"/>
    <x v="5"/>
  </r>
  <r>
    <x v="19"/>
    <x v="1"/>
    <x v="0"/>
  </r>
  <r>
    <x v="20"/>
    <x v="1"/>
    <x v="6"/>
  </r>
  <r>
    <x v="21"/>
    <x v="3"/>
    <x v="2"/>
  </r>
  <r>
    <x v="22"/>
    <x v="0"/>
    <x v="2"/>
  </r>
  <r>
    <x v="23"/>
    <x v="4"/>
    <x v="7"/>
  </r>
  <r>
    <x v="24"/>
    <x v="2"/>
    <x v="4"/>
  </r>
  <r>
    <x v="25"/>
    <x v="0"/>
    <x v="6"/>
  </r>
  <r>
    <x v="26"/>
    <x v="4"/>
    <x v="0"/>
  </r>
  <r>
    <x v="27"/>
    <x v="3"/>
    <x v="4"/>
  </r>
  <r>
    <x v="13"/>
    <x v="2"/>
    <x v="6"/>
  </r>
  <r>
    <x v="28"/>
    <x v="1"/>
    <x v="7"/>
  </r>
  <r>
    <x v="29"/>
    <x v="3"/>
    <x v="7"/>
  </r>
  <r>
    <x v="30"/>
    <x v="4"/>
    <x v="5"/>
  </r>
  <r>
    <x v="31"/>
    <x v="1"/>
    <x v="3"/>
  </r>
  <r>
    <x v="32"/>
    <x v="0"/>
    <x v="1"/>
  </r>
  <r>
    <x v="33"/>
    <x v="0"/>
    <x v="7"/>
  </r>
  <r>
    <x v="4"/>
    <x v="3"/>
    <x v="0"/>
  </r>
  <r>
    <x v="34"/>
    <x v="4"/>
    <x v="3"/>
  </r>
  <r>
    <x v="35"/>
    <x v="3"/>
    <x v="5"/>
  </r>
  <r>
    <x v="36"/>
    <x v="4"/>
    <x v="1"/>
  </r>
  <r>
    <x v="36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C7" firstHeaderRow="0" firstDataRow="1" firstDataCol="1"/>
  <pivotFields count="3">
    <pivotField dataField="1" showAll="0"/>
    <pivotField axis="axisRow" showAll="0">
      <items count="6">
        <item x="0"/>
        <item x="2"/>
        <item x="3"/>
        <item x="1"/>
        <item x="4"/>
        <item t="default"/>
      </items>
    </pivotField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tudents" fld="0" baseField="0" baseItem="0"/>
    <dataField name="Moyenne de Students2" fld="0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C10" firstHeaderRow="0" firstDataRow="1" firstDataCol="1"/>
  <pivotFields count="3">
    <pivotField dataField="1" showAll="0"/>
    <pivotField showAll="0"/>
    <pivotField axis="axisRow" showAll="0">
      <items count="9">
        <item x="1"/>
        <item x="4"/>
        <item x="5"/>
        <item x="2"/>
        <item x="3"/>
        <item x="7"/>
        <item x="6"/>
        <item x="0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tudents" fld="0" baseField="0" baseItem="0"/>
    <dataField name="Moyenne de Students2" fld="0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G11" firstHeaderRow="1" firstDataRow="2" firstDataCol="1"/>
  <pivotFields count="3">
    <pivotField dataField="1" showAll="0">
      <items count="38">
        <item x="33"/>
        <item x="15"/>
        <item x="34"/>
        <item x="6"/>
        <item x="8"/>
        <item x="14"/>
        <item x="19"/>
        <item x="17"/>
        <item x="21"/>
        <item x="23"/>
        <item x="3"/>
        <item x="26"/>
        <item x="2"/>
        <item x="11"/>
        <item x="30"/>
        <item x="5"/>
        <item x="25"/>
        <item x="28"/>
        <item x="0"/>
        <item x="24"/>
        <item x="9"/>
        <item x="18"/>
        <item x="29"/>
        <item x="36"/>
        <item x="20"/>
        <item x="4"/>
        <item x="31"/>
        <item x="13"/>
        <item x="7"/>
        <item x="32"/>
        <item x="10"/>
        <item x="12"/>
        <item x="27"/>
        <item x="16"/>
        <item x="35"/>
        <item x="22"/>
        <item x="1"/>
        <item t="default"/>
      </items>
    </pivotField>
    <pivotField axis="axisCol" showAll="0">
      <items count="6">
        <item x="0"/>
        <item x="2"/>
        <item x="3"/>
        <item x="1"/>
        <item x="4"/>
        <item t="default"/>
      </items>
    </pivotField>
    <pivotField axis="axisRow" showAll="0">
      <items count="9">
        <item x="1"/>
        <item x="4"/>
        <item x="5"/>
        <item x="2"/>
        <item x="3"/>
        <item x="7"/>
        <item x="6"/>
        <item x="0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e de Students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zoomScale="177" zoomScaleNormal="198" workbookViewId="0">
      <selection activeCell="E12" sqref="E12"/>
    </sheetView>
  </sheetViews>
  <sheetFormatPr baseColWidth="10" defaultRowHeight="14.4" x14ac:dyDescent="0.3"/>
  <cols>
    <col min="2" max="2" width="15.77734375" customWidth="1"/>
  </cols>
  <sheetData>
    <row r="1" spans="1:3" ht="15" thickBot="1" x14ac:dyDescent="0.35">
      <c r="A1" s="77" t="s">
        <v>0</v>
      </c>
      <c r="B1" s="78"/>
      <c r="C1" s="78"/>
    </row>
    <row r="2" spans="1:3" ht="15.6" thickTop="1" thickBot="1" x14ac:dyDescent="0.35">
      <c r="A2" s="37" t="s">
        <v>1</v>
      </c>
      <c r="B2" s="38" t="s">
        <v>2</v>
      </c>
      <c r="C2" s="36" t="s">
        <v>3</v>
      </c>
    </row>
    <row r="3" spans="1:3" x14ac:dyDescent="0.3">
      <c r="A3" s="18">
        <v>591</v>
      </c>
      <c r="B3" s="26" t="s">
        <v>4</v>
      </c>
      <c r="C3" s="39" t="s">
        <v>5</v>
      </c>
    </row>
    <row r="4" spans="1:3" x14ac:dyDescent="0.3">
      <c r="A4" s="11">
        <v>9567</v>
      </c>
      <c r="B4" s="20" t="s">
        <v>6</v>
      </c>
      <c r="C4" s="30" t="s">
        <v>7</v>
      </c>
    </row>
    <row r="5" spans="1:3" x14ac:dyDescent="0.3">
      <c r="A5" s="2">
        <v>542</v>
      </c>
      <c r="B5" s="1" t="s">
        <v>8</v>
      </c>
      <c r="C5" s="31" t="s">
        <v>9</v>
      </c>
    </row>
    <row r="6" spans="1:3" x14ac:dyDescent="0.3">
      <c r="A6" s="13">
        <v>346</v>
      </c>
      <c r="B6" s="20" t="s">
        <v>8</v>
      </c>
      <c r="C6" s="27" t="s">
        <v>10</v>
      </c>
    </row>
    <row r="7" spans="1:3" ht="15" thickBot="1" x14ac:dyDescent="0.35">
      <c r="A7" s="14">
        <v>849</v>
      </c>
      <c r="B7" s="1" t="s">
        <v>4</v>
      </c>
      <c r="C7" s="40" t="s">
        <v>11</v>
      </c>
    </row>
    <row r="8" spans="1:3" x14ac:dyDescent="0.3">
      <c r="A8" s="16">
        <v>552</v>
      </c>
      <c r="B8" s="21" t="s">
        <v>8</v>
      </c>
      <c r="C8" s="41" t="s">
        <v>12</v>
      </c>
    </row>
    <row r="9" spans="1:3" x14ac:dyDescent="0.3">
      <c r="A9" s="2">
        <v>173</v>
      </c>
      <c r="B9" s="1" t="s">
        <v>4</v>
      </c>
      <c r="C9" s="29" t="s">
        <v>10</v>
      </c>
    </row>
    <row r="10" spans="1:3" x14ac:dyDescent="0.3">
      <c r="A10" s="17">
        <v>1355</v>
      </c>
      <c r="B10" s="3" t="s">
        <v>4</v>
      </c>
      <c r="C10" s="30" t="s">
        <v>12</v>
      </c>
    </row>
    <row r="11" spans="1:3" x14ac:dyDescent="0.3">
      <c r="A11" s="8">
        <v>193</v>
      </c>
      <c r="B11" s="19" t="s">
        <v>13</v>
      </c>
      <c r="C11" s="31" t="s">
        <v>14</v>
      </c>
    </row>
    <row r="12" spans="1:3" x14ac:dyDescent="0.3">
      <c r="A12" s="17">
        <v>615</v>
      </c>
      <c r="B12" s="3" t="s">
        <v>13</v>
      </c>
      <c r="C12" s="30" t="s">
        <v>10</v>
      </c>
    </row>
    <row r="13" spans="1:3" x14ac:dyDescent="0.3">
      <c r="A13" s="15">
        <v>1579</v>
      </c>
      <c r="B13" s="22" t="s">
        <v>13</v>
      </c>
      <c r="C13" s="31" t="s">
        <v>7</v>
      </c>
    </row>
    <row r="14" spans="1:3" x14ac:dyDescent="0.3">
      <c r="A14" s="11">
        <v>547</v>
      </c>
      <c r="B14" s="20" t="s">
        <v>6</v>
      </c>
      <c r="C14" s="30" t="s">
        <v>9</v>
      </c>
    </row>
    <row r="15" spans="1:3" x14ac:dyDescent="0.3">
      <c r="A15" s="2">
        <v>1687</v>
      </c>
      <c r="B15" s="1" t="s">
        <v>15</v>
      </c>
      <c r="C15" s="28" t="s">
        <v>9</v>
      </c>
    </row>
    <row r="16" spans="1:3" x14ac:dyDescent="0.3">
      <c r="A16" s="11">
        <v>972</v>
      </c>
      <c r="B16" s="20" t="s">
        <v>8</v>
      </c>
      <c r="C16" s="30" t="s">
        <v>7</v>
      </c>
    </row>
    <row r="17" spans="1:3" x14ac:dyDescent="0.3">
      <c r="A17" s="2">
        <v>234</v>
      </c>
      <c r="B17" s="1" t="s">
        <v>8</v>
      </c>
      <c r="C17" s="31" t="s">
        <v>16</v>
      </c>
    </row>
    <row r="18" spans="1:3" x14ac:dyDescent="0.3">
      <c r="A18" s="11">
        <v>151</v>
      </c>
      <c r="B18" s="20" t="s">
        <v>15</v>
      </c>
      <c r="C18" s="30" t="s">
        <v>14</v>
      </c>
    </row>
    <row r="19" spans="1:3" x14ac:dyDescent="0.3">
      <c r="A19" s="18">
        <v>1793</v>
      </c>
      <c r="B19" s="19" t="s">
        <v>6</v>
      </c>
      <c r="C19" s="43" t="s">
        <v>11</v>
      </c>
    </row>
    <row r="20" spans="1:3" x14ac:dyDescent="0.3">
      <c r="A20" s="11">
        <v>315</v>
      </c>
      <c r="B20" s="20" t="s">
        <v>15</v>
      </c>
      <c r="C20" s="30" t="s">
        <v>11</v>
      </c>
    </row>
    <row r="21" spans="1:3" x14ac:dyDescent="0.3">
      <c r="A21" s="15">
        <v>618</v>
      </c>
      <c r="B21" s="22" t="s">
        <v>6</v>
      </c>
      <c r="C21" s="43" t="s">
        <v>12</v>
      </c>
    </row>
    <row r="22" spans="1:3" x14ac:dyDescent="0.3">
      <c r="A22" s="11">
        <v>246</v>
      </c>
      <c r="B22" s="20" t="s">
        <v>6</v>
      </c>
      <c r="C22" s="42" t="s">
        <v>5</v>
      </c>
    </row>
    <row r="23" spans="1:3" x14ac:dyDescent="0.3">
      <c r="A23" s="18">
        <v>784</v>
      </c>
      <c r="B23" s="19" t="s">
        <v>6</v>
      </c>
      <c r="C23" s="31" t="s">
        <v>14</v>
      </c>
    </row>
    <row r="24" spans="1:3" x14ac:dyDescent="0.3">
      <c r="A24" s="17">
        <v>316</v>
      </c>
      <c r="B24" s="3" t="s">
        <v>13</v>
      </c>
      <c r="C24" s="30" t="s">
        <v>9</v>
      </c>
    </row>
    <row r="25" spans="1:3" x14ac:dyDescent="0.3">
      <c r="A25" s="14">
        <v>3155</v>
      </c>
      <c r="B25" s="1" t="s">
        <v>4</v>
      </c>
      <c r="C25" s="31" t="s">
        <v>9</v>
      </c>
    </row>
    <row r="26" spans="1:3" x14ac:dyDescent="0.3">
      <c r="A26" s="17">
        <v>318</v>
      </c>
      <c r="B26" s="3" t="s">
        <v>15</v>
      </c>
      <c r="C26" s="27" t="s">
        <v>16</v>
      </c>
    </row>
    <row r="27" spans="1:3" x14ac:dyDescent="0.3">
      <c r="A27" s="14">
        <v>608</v>
      </c>
      <c r="B27" s="1" t="s">
        <v>8</v>
      </c>
      <c r="C27" s="31" t="s">
        <v>11</v>
      </c>
    </row>
    <row r="28" spans="1:3" x14ac:dyDescent="0.3">
      <c r="A28" s="17">
        <v>561</v>
      </c>
      <c r="B28" s="23" t="s">
        <v>4</v>
      </c>
      <c r="C28" s="42" t="s">
        <v>14</v>
      </c>
    </row>
    <row r="29" spans="1:3" x14ac:dyDescent="0.3">
      <c r="A29" s="14">
        <v>357</v>
      </c>
      <c r="B29" s="24" t="s">
        <v>15</v>
      </c>
      <c r="C29" s="31" t="s">
        <v>5</v>
      </c>
    </row>
    <row r="30" spans="1:3" x14ac:dyDescent="0.3">
      <c r="A30" s="13">
        <v>1688</v>
      </c>
      <c r="B30" s="23" t="s">
        <v>13</v>
      </c>
      <c r="C30" s="27" t="s">
        <v>11</v>
      </c>
    </row>
    <row r="31" spans="1:3" x14ac:dyDescent="0.3">
      <c r="A31" s="14">
        <v>972</v>
      </c>
      <c r="B31" s="4" t="s">
        <v>8</v>
      </c>
      <c r="C31" s="31" t="s">
        <v>14</v>
      </c>
    </row>
    <row r="32" spans="1:3" x14ac:dyDescent="0.3">
      <c r="A32" s="13">
        <v>568</v>
      </c>
      <c r="B32" s="21" t="s">
        <v>6</v>
      </c>
      <c r="C32" s="35" t="s">
        <v>16</v>
      </c>
    </row>
    <row r="33" spans="1:3" x14ac:dyDescent="0.3">
      <c r="A33" s="15">
        <v>632</v>
      </c>
      <c r="B33" s="4" t="s">
        <v>13</v>
      </c>
      <c r="C33" s="28" t="s">
        <v>16</v>
      </c>
    </row>
    <row r="34" spans="1:3" x14ac:dyDescent="0.3">
      <c r="A34" s="13">
        <v>551</v>
      </c>
      <c r="B34" s="7" t="s">
        <v>15</v>
      </c>
      <c r="C34" s="30" t="s">
        <v>12</v>
      </c>
    </row>
    <row r="35" spans="1:3" x14ac:dyDescent="0.3">
      <c r="A35" s="14">
        <v>948</v>
      </c>
      <c r="B35" s="4" t="s">
        <v>6</v>
      </c>
      <c r="C35" s="31" t="s">
        <v>10</v>
      </c>
    </row>
    <row r="36" spans="1:3" x14ac:dyDescent="0.3">
      <c r="A36" s="13">
        <v>1358</v>
      </c>
      <c r="B36" s="7" t="s">
        <v>4</v>
      </c>
      <c r="C36" s="30" t="s">
        <v>7</v>
      </c>
    </row>
    <row r="37" spans="1:3" x14ac:dyDescent="0.3">
      <c r="A37" s="8">
        <v>135</v>
      </c>
      <c r="B37" s="12" t="s">
        <v>4</v>
      </c>
      <c r="C37" s="31" t="s">
        <v>16</v>
      </c>
    </row>
    <row r="38" spans="1:3" x14ac:dyDescent="0.3">
      <c r="A38" s="9">
        <v>849</v>
      </c>
      <c r="B38" s="7" t="s">
        <v>13</v>
      </c>
      <c r="C38" s="42" t="s">
        <v>5</v>
      </c>
    </row>
    <row r="39" spans="1:3" x14ac:dyDescent="0.3">
      <c r="A39" s="10">
        <v>158</v>
      </c>
      <c r="B39" s="6" t="s">
        <v>15</v>
      </c>
      <c r="C39" s="31" t="s">
        <v>10</v>
      </c>
    </row>
    <row r="40" spans="1:3" x14ac:dyDescent="0.3">
      <c r="A40" s="11">
        <v>1889</v>
      </c>
      <c r="B40" s="7" t="s">
        <v>13</v>
      </c>
      <c r="C40" s="30" t="s">
        <v>12</v>
      </c>
    </row>
    <row r="41" spans="1:3" x14ac:dyDescent="0.3">
      <c r="A41" s="2">
        <v>651</v>
      </c>
      <c r="B41" s="4" t="s">
        <v>15</v>
      </c>
      <c r="C41" s="31" t="s">
        <v>7</v>
      </c>
    </row>
    <row r="42" spans="1:3" x14ac:dyDescent="0.3">
      <c r="A42" s="5">
        <v>651</v>
      </c>
      <c r="B42" s="3" t="s">
        <v>8</v>
      </c>
      <c r="C42" s="30" t="s">
        <v>5</v>
      </c>
    </row>
    <row r="43" spans="1:3" x14ac:dyDescent="0.3">
      <c r="B43" s="25"/>
    </row>
    <row r="44" spans="1:3" x14ac:dyDescent="0.3">
      <c r="B44" s="25"/>
    </row>
    <row r="45" spans="1:3" x14ac:dyDescent="0.3">
      <c r="B45" s="25"/>
    </row>
    <row r="46" spans="1:3" x14ac:dyDescent="0.3">
      <c r="B46" s="25"/>
    </row>
    <row r="47" spans="1:3" x14ac:dyDescent="0.3">
      <c r="B47" s="25"/>
    </row>
    <row r="48" spans="1:3" x14ac:dyDescent="0.3">
      <c r="B48" s="25"/>
    </row>
    <row r="49" spans="2:2" x14ac:dyDescent="0.3">
      <c r="B49" s="25"/>
    </row>
    <row r="50" spans="2:2" x14ac:dyDescent="0.3">
      <c r="B50" s="25"/>
    </row>
  </sheetData>
  <mergeCells count="1">
    <mergeCell ref="A1:C1"/>
  </mergeCells>
  <conditionalFormatting sqref="A2:B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C4" sqref="C4"/>
    </sheetView>
  </sheetViews>
  <sheetFormatPr baseColWidth="10" defaultRowHeight="14.4" x14ac:dyDescent="0.3"/>
  <cols>
    <col min="1" max="1" width="19.5546875" bestFit="1" customWidth="1"/>
    <col min="2" max="2" width="18" bestFit="1" customWidth="1"/>
    <col min="3" max="3" width="20.6640625" bestFit="1" customWidth="1"/>
  </cols>
  <sheetData>
    <row r="1" spans="1:3" x14ac:dyDescent="0.3">
      <c r="A1" s="32" t="s">
        <v>17</v>
      </c>
      <c r="B1" t="s">
        <v>19</v>
      </c>
      <c r="C1" t="s">
        <v>20</v>
      </c>
    </row>
    <row r="2" spans="1:3" x14ac:dyDescent="0.3">
      <c r="A2" s="33" t="s">
        <v>4</v>
      </c>
      <c r="B2" s="34">
        <v>8177</v>
      </c>
      <c r="C2" s="34">
        <v>1022.125</v>
      </c>
    </row>
    <row r="3" spans="1:3" x14ac:dyDescent="0.3">
      <c r="A3" s="33" t="s">
        <v>8</v>
      </c>
      <c r="B3" s="34">
        <v>4877</v>
      </c>
      <c r="C3" s="34">
        <v>609.625</v>
      </c>
    </row>
    <row r="4" spans="1:3" x14ac:dyDescent="0.3">
      <c r="A4" s="33" t="s">
        <v>13</v>
      </c>
      <c r="B4" s="34">
        <v>7761</v>
      </c>
      <c r="C4" s="34">
        <v>970.125</v>
      </c>
    </row>
    <row r="5" spans="1:3" x14ac:dyDescent="0.3">
      <c r="A5" s="33" t="s">
        <v>6</v>
      </c>
      <c r="B5" s="34">
        <v>15071</v>
      </c>
      <c r="C5" s="34">
        <v>1883.875</v>
      </c>
    </row>
    <row r="6" spans="1:3" x14ac:dyDescent="0.3">
      <c r="A6" s="33" t="s">
        <v>15</v>
      </c>
      <c r="B6" s="34">
        <v>4188</v>
      </c>
      <c r="C6" s="34">
        <v>523.5</v>
      </c>
    </row>
    <row r="7" spans="1:3" x14ac:dyDescent="0.3">
      <c r="A7" s="33" t="s">
        <v>18</v>
      </c>
      <c r="B7" s="34">
        <v>40074</v>
      </c>
      <c r="C7" s="34">
        <v>1001.85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sqref="A1:XFD1"/>
    </sheetView>
  </sheetViews>
  <sheetFormatPr baseColWidth="10" defaultRowHeight="14.4" x14ac:dyDescent="0.3"/>
  <cols>
    <col min="1" max="1" width="19.5546875" bestFit="1" customWidth="1"/>
    <col min="2" max="2" width="18" bestFit="1" customWidth="1"/>
    <col min="3" max="3" width="20.6640625" bestFit="1" customWidth="1"/>
  </cols>
  <sheetData>
    <row r="1" spans="1:3" x14ac:dyDescent="0.3">
      <c r="A1" s="32" t="s">
        <v>17</v>
      </c>
      <c r="B1" t="s">
        <v>19</v>
      </c>
      <c r="C1" t="s">
        <v>20</v>
      </c>
    </row>
    <row r="2" spans="1:3" x14ac:dyDescent="0.3">
      <c r="A2" s="33" t="s">
        <v>7</v>
      </c>
      <c r="B2" s="34">
        <v>14127</v>
      </c>
      <c r="C2" s="34">
        <v>2825.4</v>
      </c>
    </row>
    <row r="3" spans="1:3" x14ac:dyDescent="0.3">
      <c r="A3" s="33" t="s">
        <v>11</v>
      </c>
      <c r="B3" s="34">
        <v>5253</v>
      </c>
      <c r="C3" s="34">
        <v>1050.5999999999999</v>
      </c>
    </row>
    <row r="4" spans="1:3" x14ac:dyDescent="0.3">
      <c r="A4" s="33" t="s">
        <v>12</v>
      </c>
      <c r="B4" s="34">
        <v>4965</v>
      </c>
      <c r="C4" s="34">
        <v>993</v>
      </c>
    </row>
    <row r="5" spans="1:3" x14ac:dyDescent="0.3">
      <c r="A5" s="33" t="s">
        <v>9</v>
      </c>
      <c r="B5" s="34">
        <v>6247</v>
      </c>
      <c r="C5" s="34">
        <v>1249.4000000000001</v>
      </c>
    </row>
    <row r="6" spans="1:3" x14ac:dyDescent="0.3">
      <c r="A6" s="33" t="s">
        <v>10</v>
      </c>
      <c r="B6" s="34">
        <v>2240</v>
      </c>
      <c r="C6" s="34">
        <v>448</v>
      </c>
    </row>
    <row r="7" spans="1:3" x14ac:dyDescent="0.3">
      <c r="A7" s="33" t="s">
        <v>16</v>
      </c>
      <c r="B7" s="34">
        <v>1887</v>
      </c>
      <c r="C7" s="34">
        <v>377.4</v>
      </c>
    </row>
    <row r="8" spans="1:3" x14ac:dyDescent="0.3">
      <c r="A8" s="33" t="s">
        <v>14</v>
      </c>
      <c r="B8" s="34">
        <v>2661</v>
      </c>
      <c r="C8" s="34">
        <v>532.20000000000005</v>
      </c>
    </row>
    <row r="9" spans="1:3" x14ac:dyDescent="0.3">
      <c r="A9" s="33" t="s">
        <v>5</v>
      </c>
      <c r="B9" s="34">
        <v>2694</v>
      </c>
      <c r="C9" s="34">
        <v>538.79999999999995</v>
      </c>
    </row>
    <row r="10" spans="1:3" x14ac:dyDescent="0.3">
      <c r="A10" s="33" t="s">
        <v>18</v>
      </c>
      <c r="B10" s="34">
        <v>40074</v>
      </c>
      <c r="C10" s="34">
        <v>1001.85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C22" sqref="C22"/>
    </sheetView>
  </sheetViews>
  <sheetFormatPr baseColWidth="10" defaultRowHeight="14.4" x14ac:dyDescent="0.3"/>
  <cols>
    <col min="1" max="1" width="19.5546875" bestFit="1" customWidth="1"/>
    <col min="2" max="2" width="22.33203125" customWidth="1"/>
    <col min="3" max="3" width="10" customWidth="1"/>
    <col min="4" max="4" width="12" customWidth="1"/>
    <col min="5" max="5" width="7.109375" customWidth="1"/>
    <col min="6" max="6" width="10.5546875" customWidth="1"/>
    <col min="7" max="7" width="11.88671875" customWidth="1"/>
    <col min="8" max="29" width="4" customWidth="1"/>
    <col min="30" max="38" width="5" customWidth="1"/>
    <col min="39" max="39" width="11.88671875" bestFit="1" customWidth="1"/>
  </cols>
  <sheetData>
    <row r="1" spans="1:7" x14ac:dyDescent="0.3">
      <c r="A1" s="32" t="s">
        <v>19</v>
      </c>
      <c r="B1" s="32" t="s">
        <v>21</v>
      </c>
    </row>
    <row r="2" spans="1:7" x14ac:dyDescent="0.3">
      <c r="A2" s="32" t="s">
        <v>17</v>
      </c>
      <c r="B2" t="s">
        <v>4</v>
      </c>
      <c r="C2" t="s">
        <v>8</v>
      </c>
      <c r="D2" t="s">
        <v>13</v>
      </c>
      <c r="E2" t="s">
        <v>6</v>
      </c>
      <c r="F2" t="s">
        <v>15</v>
      </c>
      <c r="G2" t="s">
        <v>18</v>
      </c>
    </row>
    <row r="3" spans="1:7" x14ac:dyDescent="0.3">
      <c r="A3" s="33" t="s">
        <v>7</v>
      </c>
      <c r="B3" s="34">
        <v>1358</v>
      </c>
      <c r="C3" s="34">
        <v>972</v>
      </c>
      <c r="D3" s="34">
        <v>1579</v>
      </c>
      <c r="E3" s="34">
        <v>9567</v>
      </c>
      <c r="F3" s="34">
        <v>651</v>
      </c>
      <c r="G3" s="34">
        <v>14127</v>
      </c>
    </row>
    <row r="4" spans="1:7" x14ac:dyDescent="0.3">
      <c r="A4" s="33" t="s">
        <v>11</v>
      </c>
      <c r="B4" s="34">
        <v>849</v>
      </c>
      <c r="C4" s="34">
        <v>608</v>
      </c>
      <c r="D4" s="34">
        <v>1688</v>
      </c>
      <c r="E4" s="34">
        <v>1793</v>
      </c>
      <c r="F4" s="34">
        <v>315</v>
      </c>
      <c r="G4" s="34">
        <v>5253</v>
      </c>
    </row>
    <row r="5" spans="1:7" x14ac:dyDescent="0.3">
      <c r="A5" s="33" t="s">
        <v>12</v>
      </c>
      <c r="B5" s="34">
        <v>1355</v>
      </c>
      <c r="C5" s="34">
        <v>552</v>
      </c>
      <c r="D5" s="34">
        <v>1889</v>
      </c>
      <c r="E5" s="34">
        <v>618</v>
      </c>
      <c r="F5" s="34">
        <v>551</v>
      </c>
      <c r="G5" s="34">
        <v>4965</v>
      </c>
    </row>
    <row r="6" spans="1:7" x14ac:dyDescent="0.3">
      <c r="A6" s="33" t="s">
        <v>9</v>
      </c>
      <c r="B6" s="34">
        <v>3155</v>
      </c>
      <c r="C6" s="34">
        <v>542</v>
      </c>
      <c r="D6" s="34">
        <v>316</v>
      </c>
      <c r="E6" s="34">
        <v>547</v>
      </c>
      <c r="F6" s="34">
        <v>1687</v>
      </c>
      <c r="G6" s="34">
        <v>6247</v>
      </c>
    </row>
    <row r="7" spans="1:7" x14ac:dyDescent="0.3">
      <c r="A7" s="33" t="s">
        <v>10</v>
      </c>
      <c r="B7" s="34">
        <v>173</v>
      </c>
      <c r="C7" s="34">
        <v>346</v>
      </c>
      <c r="D7" s="34">
        <v>615</v>
      </c>
      <c r="E7" s="34">
        <v>948</v>
      </c>
      <c r="F7" s="34">
        <v>158</v>
      </c>
      <c r="G7" s="34">
        <v>2240</v>
      </c>
    </row>
    <row r="8" spans="1:7" x14ac:dyDescent="0.3">
      <c r="A8" s="33" t="s">
        <v>16</v>
      </c>
      <c r="B8" s="34">
        <v>135</v>
      </c>
      <c r="C8" s="34">
        <v>234</v>
      </c>
      <c r="D8" s="34">
        <v>632</v>
      </c>
      <c r="E8" s="34">
        <v>568</v>
      </c>
      <c r="F8" s="34">
        <v>318</v>
      </c>
      <c r="G8" s="34">
        <v>1887</v>
      </c>
    </row>
    <row r="9" spans="1:7" x14ac:dyDescent="0.3">
      <c r="A9" s="33" t="s">
        <v>14</v>
      </c>
      <c r="B9" s="34">
        <v>561</v>
      </c>
      <c r="C9" s="34">
        <v>972</v>
      </c>
      <c r="D9" s="34">
        <v>193</v>
      </c>
      <c r="E9" s="34">
        <v>784</v>
      </c>
      <c r="F9" s="34">
        <v>151</v>
      </c>
      <c r="G9" s="34">
        <v>2661</v>
      </c>
    </row>
    <row r="10" spans="1:7" x14ac:dyDescent="0.3">
      <c r="A10" s="33" t="s">
        <v>5</v>
      </c>
      <c r="B10" s="34">
        <v>591</v>
      </c>
      <c r="C10" s="34">
        <v>651</v>
      </c>
      <c r="D10" s="34">
        <v>849</v>
      </c>
      <c r="E10" s="34">
        <v>246</v>
      </c>
      <c r="F10" s="34">
        <v>357</v>
      </c>
      <c r="G10" s="34">
        <v>2694</v>
      </c>
    </row>
    <row r="11" spans="1:7" x14ac:dyDescent="0.3">
      <c r="A11" s="33" t="s">
        <v>18</v>
      </c>
      <c r="B11" s="34">
        <v>8177</v>
      </c>
      <c r="C11" s="34">
        <v>4877</v>
      </c>
      <c r="D11" s="34">
        <v>7761</v>
      </c>
      <c r="E11" s="34">
        <v>15071</v>
      </c>
      <c r="F11" s="34">
        <v>4188</v>
      </c>
      <c r="G11" s="34">
        <v>40074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tabSelected="1" topLeftCell="C1" zoomScale="164" workbookViewId="0">
      <selection activeCell="F5" sqref="F5"/>
    </sheetView>
  </sheetViews>
  <sheetFormatPr baseColWidth="10" defaultRowHeight="14.4" x14ac:dyDescent="0.3"/>
  <cols>
    <col min="2" max="2" width="13.5546875" bestFit="1" customWidth="1"/>
    <col min="4" max="4" width="13.5546875" bestFit="1" customWidth="1"/>
    <col min="5" max="5" width="10" customWidth="1"/>
    <col min="6" max="6" width="11" customWidth="1"/>
    <col min="7" max="7" width="17.77734375" customWidth="1"/>
  </cols>
  <sheetData>
    <row r="1" spans="1:7" x14ac:dyDescent="0.3">
      <c r="A1" s="58" t="s">
        <v>22</v>
      </c>
      <c r="B1" s="60" t="s">
        <v>23</v>
      </c>
      <c r="C1" s="54" t="s">
        <v>24</v>
      </c>
      <c r="D1" s="59" t="s">
        <v>25</v>
      </c>
      <c r="E1" s="54" t="s">
        <v>26</v>
      </c>
      <c r="F1" s="59" t="s">
        <v>27</v>
      </c>
      <c r="G1" s="44" t="s">
        <v>28</v>
      </c>
    </row>
    <row r="2" spans="1:7" x14ac:dyDescent="0.3">
      <c r="A2" s="61">
        <v>1</v>
      </c>
      <c r="B2" s="96">
        <v>120</v>
      </c>
      <c r="C2" s="55">
        <v>3</v>
      </c>
      <c r="D2" s="93">
        <v>360</v>
      </c>
      <c r="E2" s="52" t="str">
        <f>IF(D2&lt;100,"0%",IF(D2&lt;=999,"5%",IF(D2&gt;=1000,"10%")))</f>
        <v>5%</v>
      </c>
      <c r="F2" s="50">
        <f>D2*E2</f>
        <v>18</v>
      </c>
      <c r="G2" s="90">
        <f>D2-F2</f>
        <v>342</v>
      </c>
    </row>
    <row r="3" spans="1:7" x14ac:dyDescent="0.3">
      <c r="A3" s="62">
        <v>2</v>
      </c>
      <c r="B3" s="97">
        <v>56</v>
      </c>
      <c r="C3" s="56">
        <v>5</v>
      </c>
      <c r="D3" s="94">
        <v>280</v>
      </c>
      <c r="E3" s="53" t="str">
        <f t="shared" ref="E3:E15" si="0">IF(D3&lt;100,"0%",IF(D3&lt;=999,"5%",IF(D3&gt;=1000,"10%")))</f>
        <v>5%</v>
      </c>
      <c r="F3" s="49">
        <f>D3*E3</f>
        <v>14</v>
      </c>
      <c r="G3" s="91">
        <f t="shared" ref="G3:G15" si="1">D3-F3</f>
        <v>266</v>
      </c>
    </row>
    <row r="4" spans="1:7" x14ac:dyDescent="0.3">
      <c r="A4" s="61">
        <v>3</v>
      </c>
      <c r="B4" s="98">
        <v>70</v>
      </c>
      <c r="C4" s="55">
        <v>2</v>
      </c>
      <c r="D4" s="93">
        <v>140</v>
      </c>
      <c r="E4" s="52" t="str">
        <f t="shared" si="0"/>
        <v>5%</v>
      </c>
      <c r="F4" s="50">
        <f t="shared" ref="F4:F15" si="2">D4*E4</f>
        <v>7</v>
      </c>
      <c r="G4" s="90">
        <f t="shared" si="1"/>
        <v>133</v>
      </c>
    </row>
    <row r="5" spans="1:7" x14ac:dyDescent="0.3">
      <c r="A5" s="62">
        <v>4</v>
      </c>
      <c r="B5" s="97">
        <v>430</v>
      </c>
      <c r="C5" s="56">
        <v>7</v>
      </c>
      <c r="D5" s="94">
        <v>3010</v>
      </c>
      <c r="E5" s="53" t="str">
        <f t="shared" si="0"/>
        <v>10%</v>
      </c>
      <c r="F5" s="49">
        <f>D5*E5</f>
        <v>301</v>
      </c>
      <c r="G5" s="91">
        <f t="shared" si="1"/>
        <v>2709</v>
      </c>
    </row>
    <row r="6" spans="1:7" x14ac:dyDescent="0.3">
      <c r="A6" s="61">
        <v>5</v>
      </c>
      <c r="B6" s="98">
        <v>230</v>
      </c>
      <c r="C6" s="55">
        <v>23</v>
      </c>
      <c r="D6" s="93">
        <v>5290</v>
      </c>
      <c r="E6" s="52" t="str">
        <f t="shared" si="0"/>
        <v>10%</v>
      </c>
      <c r="F6" s="50">
        <f t="shared" si="2"/>
        <v>529</v>
      </c>
      <c r="G6" s="90">
        <f t="shared" si="1"/>
        <v>4761</v>
      </c>
    </row>
    <row r="7" spans="1:7" x14ac:dyDescent="0.3">
      <c r="A7" s="62">
        <v>6</v>
      </c>
      <c r="B7" s="97">
        <v>10</v>
      </c>
      <c r="C7" s="56">
        <v>2</v>
      </c>
      <c r="D7" s="94">
        <v>20</v>
      </c>
      <c r="E7" s="53" t="str">
        <f t="shared" si="0"/>
        <v>0%</v>
      </c>
      <c r="F7" s="86">
        <f t="shared" si="2"/>
        <v>0</v>
      </c>
      <c r="G7" s="91">
        <f t="shared" si="1"/>
        <v>20</v>
      </c>
    </row>
    <row r="8" spans="1:7" x14ac:dyDescent="0.3">
      <c r="A8" s="61">
        <v>7</v>
      </c>
      <c r="B8" s="98">
        <v>5</v>
      </c>
      <c r="C8" s="55">
        <v>8</v>
      </c>
      <c r="D8" s="93">
        <v>40</v>
      </c>
      <c r="E8" s="52" t="str">
        <f t="shared" si="0"/>
        <v>0%</v>
      </c>
      <c r="F8" s="85">
        <f t="shared" si="2"/>
        <v>0</v>
      </c>
      <c r="G8" s="90">
        <f t="shared" si="1"/>
        <v>40</v>
      </c>
    </row>
    <row r="9" spans="1:7" x14ac:dyDescent="0.3">
      <c r="A9" s="62">
        <v>8</v>
      </c>
      <c r="B9" s="97">
        <v>5040</v>
      </c>
      <c r="C9" s="56">
        <v>1</v>
      </c>
      <c r="D9" s="94">
        <v>5040</v>
      </c>
      <c r="E9" s="53" t="str">
        <f t="shared" si="0"/>
        <v>10%</v>
      </c>
      <c r="F9" s="49">
        <f>D9*E9</f>
        <v>504</v>
      </c>
      <c r="G9" s="91">
        <f t="shared" si="1"/>
        <v>4536</v>
      </c>
    </row>
    <row r="10" spans="1:7" x14ac:dyDescent="0.3">
      <c r="A10" s="61">
        <v>9</v>
      </c>
      <c r="B10" s="98">
        <v>1200</v>
      </c>
      <c r="C10" s="55">
        <v>3</v>
      </c>
      <c r="D10" s="93">
        <v>3600</v>
      </c>
      <c r="E10" s="52" t="str">
        <f t="shared" si="0"/>
        <v>10%</v>
      </c>
      <c r="F10" s="50">
        <f t="shared" si="2"/>
        <v>360</v>
      </c>
      <c r="G10" s="90">
        <f t="shared" si="1"/>
        <v>3240</v>
      </c>
    </row>
    <row r="11" spans="1:7" x14ac:dyDescent="0.3">
      <c r="A11" s="63">
        <v>10</v>
      </c>
      <c r="B11" s="97">
        <v>480</v>
      </c>
      <c r="C11" s="56">
        <v>4</v>
      </c>
      <c r="D11" s="94">
        <v>1920</v>
      </c>
      <c r="E11" s="53" t="str">
        <f t="shared" si="0"/>
        <v>10%</v>
      </c>
      <c r="F11" s="49">
        <f t="shared" si="2"/>
        <v>192</v>
      </c>
      <c r="G11" s="91">
        <f t="shared" si="1"/>
        <v>1728</v>
      </c>
    </row>
    <row r="12" spans="1:7" x14ac:dyDescent="0.3">
      <c r="A12" s="64">
        <v>11</v>
      </c>
      <c r="B12" s="98">
        <v>33</v>
      </c>
      <c r="C12" s="55">
        <v>5</v>
      </c>
      <c r="D12" s="93">
        <v>165</v>
      </c>
      <c r="E12" s="87" t="str">
        <f t="shared" si="0"/>
        <v>5%</v>
      </c>
      <c r="F12" s="50">
        <f t="shared" si="2"/>
        <v>8.25</v>
      </c>
      <c r="G12" s="90">
        <f t="shared" si="1"/>
        <v>156.75</v>
      </c>
    </row>
    <row r="13" spans="1:7" x14ac:dyDescent="0.3">
      <c r="A13" s="63">
        <v>12</v>
      </c>
      <c r="B13" s="97">
        <v>1200</v>
      </c>
      <c r="C13" s="56">
        <v>2</v>
      </c>
      <c r="D13" s="94">
        <v>2400</v>
      </c>
      <c r="E13" s="53" t="str">
        <f t="shared" si="0"/>
        <v>10%</v>
      </c>
      <c r="F13" s="49">
        <f t="shared" si="2"/>
        <v>240</v>
      </c>
      <c r="G13" s="91">
        <f t="shared" si="1"/>
        <v>2160</v>
      </c>
    </row>
    <row r="14" spans="1:7" x14ac:dyDescent="0.3">
      <c r="A14" s="64">
        <v>13</v>
      </c>
      <c r="B14" s="98">
        <v>15</v>
      </c>
      <c r="C14" s="55">
        <v>10</v>
      </c>
      <c r="D14" s="93">
        <v>150</v>
      </c>
      <c r="E14" s="52" t="str">
        <f t="shared" si="0"/>
        <v>5%</v>
      </c>
      <c r="F14" s="50">
        <f t="shared" si="2"/>
        <v>7.5</v>
      </c>
      <c r="G14" s="90">
        <f t="shared" si="1"/>
        <v>142.5</v>
      </c>
    </row>
    <row r="15" spans="1:7" ht="15" thickBot="1" x14ac:dyDescent="0.35">
      <c r="A15" s="65">
        <v>14</v>
      </c>
      <c r="B15" s="99">
        <v>24</v>
      </c>
      <c r="C15" s="57">
        <v>5</v>
      </c>
      <c r="D15" s="95">
        <v>120</v>
      </c>
      <c r="E15" s="88" t="str">
        <f t="shared" si="0"/>
        <v>5%</v>
      </c>
      <c r="F15" s="51">
        <f t="shared" si="2"/>
        <v>6</v>
      </c>
      <c r="G15" s="92">
        <f t="shared" si="1"/>
        <v>114</v>
      </c>
    </row>
    <row r="16" spans="1:7" ht="15" thickBot="1" x14ac:dyDescent="0.35"/>
    <row r="17" spans="5:7" x14ac:dyDescent="0.3">
      <c r="E17" s="79" t="s">
        <v>29</v>
      </c>
      <c r="F17" s="80"/>
      <c r="G17" s="89">
        <f>G2+G3+G4+G5+G6+G7+G8+G9+G10+G11+G12+G13+G14+G15</f>
        <v>20348.25</v>
      </c>
    </row>
    <row r="18" spans="5:7" x14ac:dyDescent="0.3">
      <c r="E18" s="81" t="s">
        <v>30</v>
      </c>
      <c r="F18" s="82"/>
      <c r="G18" s="66">
        <v>0.19</v>
      </c>
    </row>
    <row r="19" spans="5:7" x14ac:dyDescent="0.3">
      <c r="E19" s="81" t="s">
        <v>31</v>
      </c>
      <c r="F19" s="82"/>
      <c r="G19" s="67">
        <f>(G17*G18)</f>
        <v>3866.1675</v>
      </c>
    </row>
    <row r="20" spans="5:7" ht="15" thickBot="1" x14ac:dyDescent="0.35">
      <c r="E20" s="83" t="s">
        <v>32</v>
      </c>
      <c r="F20" s="84"/>
      <c r="G20" s="68">
        <f>G17+G19</f>
        <v>24214.4175</v>
      </c>
    </row>
  </sheetData>
  <mergeCells count="4">
    <mergeCell ref="E17:F17"/>
    <mergeCell ref="E18:F18"/>
    <mergeCell ref="E19:F19"/>
    <mergeCell ref="E20:F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zoomScale="91" workbookViewId="0">
      <selection activeCell="L32" sqref="L32"/>
    </sheetView>
  </sheetViews>
  <sheetFormatPr baseColWidth="10" defaultRowHeight="14.4" x14ac:dyDescent="0.3"/>
  <sheetData>
    <row r="1" spans="1:3" x14ac:dyDescent="0.3">
      <c r="A1" s="74" t="s">
        <v>34</v>
      </c>
      <c r="B1" s="75" t="s">
        <v>33</v>
      </c>
      <c r="C1" s="76" t="s">
        <v>35</v>
      </c>
    </row>
    <row r="2" spans="1:3" x14ac:dyDescent="0.3">
      <c r="A2" s="45">
        <v>1</v>
      </c>
      <c r="B2" s="46">
        <v>5</v>
      </c>
      <c r="C2" s="69">
        <f>B2/A2</f>
        <v>5</v>
      </c>
    </row>
    <row r="3" spans="1:3" x14ac:dyDescent="0.3">
      <c r="A3" s="48">
        <v>2</v>
      </c>
      <c r="B3" s="47">
        <v>10</v>
      </c>
      <c r="C3" s="70">
        <f t="shared" ref="C3:C11" si="0">B3/A3</f>
        <v>5</v>
      </c>
    </row>
    <row r="4" spans="1:3" x14ac:dyDescent="0.3">
      <c r="A4" s="45">
        <v>3</v>
      </c>
      <c r="B4" s="46">
        <v>17</v>
      </c>
      <c r="C4" s="69">
        <f t="shared" si="0"/>
        <v>5.666666666666667</v>
      </c>
    </row>
    <row r="5" spans="1:3" x14ac:dyDescent="0.3">
      <c r="A5" s="48">
        <v>4</v>
      </c>
      <c r="B5" s="47">
        <v>27</v>
      </c>
      <c r="C5" s="70">
        <f t="shared" si="0"/>
        <v>6.75</v>
      </c>
    </row>
    <row r="6" spans="1:3" x14ac:dyDescent="0.3">
      <c r="A6" s="45">
        <v>5</v>
      </c>
      <c r="B6" s="46">
        <v>37</v>
      </c>
      <c r="C6" s="69">
        <f t="shared" si="0"/>
        <v>7.4</v>
      </c>
    </row>
    <row r="7" spans="1:3" x14ac:dyDescent="0.3">
      <c r="A7" s="48">
        <v>6</v>
      </c>
      <c r="B7" s="47">
        <v>49</v>
      </c>
      <c r="C7" s="70">
        <f t="shared" si="0"/>
        <v>8.1666666666666661</v>
      </c>
    </row>
    <row r="8" spans="1:3" x14ac:dyDescent="0.3">
      <c r="A8" s="45">
        <v>7</v>
      </c>
      <c r="B8" s="46">
        <v>63</v>
      </c>
      <c r="C8" s="69">
        <f t="shared" si="0"/>
        <v>9</v>
      </c>
    </row>
    <row r="9" spans="1:3" x14ac:dyDescent="0.3">
      <c r="A9" s="48">
        <v>8</v>
      </c>
      <c r="B9" s="47">
        <v>75</v>
      </c>
      <c r="C9" s="70">
        <f t="shared" si="0"/>
        <v>9.375</v>
      </c>
    </row>
    <row r="10" spans="1:3" x14ac:dyDescent="0.3">
      <c r="A10" s="45">
        <v>9</v>
      </c>
      <c r="B10" s="46">
        <v>83</v>
      </c>
      <c r="C10" s="69">
        <f t="shared" si="0"/>
        <v>9.2222222222222214</v>
      </c>
    </row>
    <row r="11" spans="1:3" ht="15" thickBot="1" x14ac:dyDescent="0.35">
      <c r="A11" s="72">
        <v>10</v>
      </c>
      <c r="B11" s="73">
        <v>91</v>
      </c>
      <c r="C11" s="71">
        <f t="shared" si="0"/>
        <v>9.1</v>
      </c>
    </row>
    <row r="12" spans="1:3" ht="15" thickTop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Feuil2</vt:lpstr>
      <vt:lpstr>Feuil3</vt:lpstr>
      <vt:lpstr>Feuil4</vt:lpstr>
      <vt:lpstr>Feuil5</vt:lpstr>
      <vt:lpstr>Feuil6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2023-12-27T18:00:16Z</dcterms:created>
  <dcterms:modified xsi:type="dcterms:W3CDTF">2024-01-02T14:25:45Z</dcterms:modified>
</cp:coreProperties>
</file>